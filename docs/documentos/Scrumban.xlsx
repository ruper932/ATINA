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Integrador\ATINA\docs\documentos\"/>
    </mc:Choice>
  </mc:AlternateContent>
  <xr:revisionPtr revIDLastSave="0" documentId="13_ncr:1_{3BD9C08E-F4F8-4309-BD53-FC6FCCE7215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Backlog" sheetId="1" r:id="rId1"/>
    <sheet name="Resumen" sheetId="2" r:id="rId2"/>
    <sheet name="Guía" sheetId="3" r:id="rId3"/>
  </sheets>
  <definedNames>
    <definedName name="_xlnm._FilterDatabase" localSheetId="0" hidden="1">Backlog!$A$4:$L$35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2" l="1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<sst xmlns="http://schemas.openxmlformats.org/spreadsheetml/2006/main" count="306" uniqueCount="156">
  <si>
    <t>TABLA SCRUMBAN - SISTEMA INTELIGENTE DE AGUA</t>
  </si>
  <si>
    <t>Proyecto Integrador Intermedio I - Ingeniería de Sistemas</t>
  </si>
  <si>
    <t>ID</t>
  </si>
  <si>
    <t>Épica / módulo</t>
  </si>
  <si>
    <t>Tarea</t>
  </si>
  <si>
    <t>HU relacionada</t>
  </si>
  <si>
    <t>Prioridad</t>
  </si>
  <si>
    <t>Estado</t>
  </si>
  <si>
    <t>Responsable</t>
  </si>
  <si>
    <t>Estimación (días)</t>
  </si>
  <si>
    <t>Inicio</t>
  </si>
  <si>
    <t>Fin</t>
  </si>
  <si>
    <t>Bloqueada</t>
  </si>
  <si>
    <t>Observaciones</t>
  </si>
  <si>
    <t>T-01</t>
  </si>
  <si>
    <t>IoT / Hardware</t>
  </si>
  <si>
    <t>Configurar ESP32 y conectividad de red</t>
  </si>
  <si>
    <t>HU-02</t>
  </si>
  <si>
    <t>Alta</t>
  </si>
  <si>
    <t>Done</t>
  </si>
  <si>
    <t>Limber Romero</t>
  </si>
  <si>
    <t>No</t>
  </si>
  <si>
    <t>Base del nodo IoT</t>
  </si>
  <si>
    <t>T-02</t>
  </si>
  <si>
    <t>Integrar sensor BME680 para temperatura y presión</t>
  </si>
  <si>
    <t>HU-03</t>
  </si>
  <si>
    <t>Lectura ambiental en tiempo real</t>
  </si>
  <si>
    <t>T-03</t>
  </si>
  <si>
    <t>Integrar caudalímetro para registro de litros</t>
  </si>
  <si>
    <t>HU-04</t>
  </si>
  <si>
    <t>Backlog</t>
  </si>
  <si>
    <t>Medición de agua captada</t>
  </si>
  <si>
    <t>T-04</t>
  </si>
  <si>
    <t>Implementar transmisión de datos vía MCP</t>
  </si>
  <si>
    <t>HU-27</t>
  </si>
  <si>
    <t>Interoperabilidad local</t>
  </si>
  <si>
    <t>T-05</t>
  </si>
  <si>
    <t>Machine Learning</t>
  </si>
  <si>
    <t>Preparar dataset histórico de variables climáticas</t>
  </si>
  <si>
    <t>HU-06</t>
  </si>
  <si>
    <t>Base para entrenamiento ML1</t>
  </si>
  <si>
    <t>T-06</t>
  </si>
  <si>
    <t>Entrenar modelo ML1 de predicción volumétrica</t>
  </si>
  <si>
    <t>Predicción diaria 24h</t>
  </si>
  <si>
    <t>T-07</t>
  </si>
  <si>
    <t>Integrar inferencia diaria de ML1 en backend</t>
  </si>
  <si>
    <t>Automatización diaria</t>
  </si>
  <si>
    <t>T-08</t>
  </si>
  <si>
    <t>Desarrollar modelo ML2 para control de riego edge</t>
  </si>
  <si>
    <t>HU-08</t>
  </si>
  <si>
    <t>Ejecución en ESP32</t>
  </si>
  <si>
    <t>T-09</t>
  </si>
  <si>
    <t>Implementar simulador ML3 de escenarios hídricos</t>
  </si>
  <si>
    <t>HU-09 / HU-21</t>
  </si>
  <si>
    <t>Media</t>
  </si>
  <si>
    <t>Gemelo digital educativo</t>
  </si>
  <si>
    <t>T-10</t>
  </si>
  <si>
    <t>Backend</t>
  </si>
  <si>
    <t>Crear proyecto FastAPI y estructura modular</t>
  </si>
  <si>
    <t>RNF-07</t>
  </si>
  <si>
    <t>Base del servidor</t>
  </si>
  <si>
    <t>T-11</t>
  </si>
  <si>
    <t>Diseñar modelo de base de datos PostgreSQL</t>
  </si>
  <si>
    <t>HU-11 / HU-12</t>
  </si>
  <si>
    <t>Tablas y relaciones</t>
  </si>
  <si>
    <t>T-12</t>
  </si>
  <si>
    <t>Implementar autenticación con JWT y Bcrypt</t>
  </si>
  <si>
    <t>HU-01 / RNF-04</t>
  </si>
  <si>
    <t>Login seguro</t>
  </si>
  <si>
    <t>T-13</t>
  </si>
  <si>
    <t>Crear endpoints para lecturas IoT</t>
  </si>
  <si>
    <t>HU-03 / HU-04</t>
  </si>
  <si>
    <t>Recepción de datos</t>
  </si>
  <si>
    <t>T-14</t>
  </si>
  <si>
    <t>Crear endpoints para predicciones ML</t>
  </si>
  <si>
    <t>HU-06 / HU-08</t>
  </si>
  <si>
    <t>Servir inferencias</t>
  </si>
  <si>
    <t>T-15</t>
  </si>
  <si>
    <t>Crear endpoints de reportes históricos</t>
  </si>
  <si>
    <t>HU-10 / HU-25</t>
  </si>
  <si>
    <t>Exportación de reportes</t>
  </si>
  <si>
    <t>T-16</t>
  </si>
  <si>
    <t>Implementar gestión de usuarios</t>
  </si>
  <si>
    <t>HU-12</t>
  </si>
  <si>
    <t>CRUD usuarios</t>
  </si>
  <si>
    <t>T-17</t>
  </si>
  <si>
    <t>Implementar backup y limpieza de BD</t>
  </si>
  <si>
    <t>HU-13 / HU-28</t>
  </si>
  <si>
    <t>Baja</t>
  </si>
  <si>
    <t>Doing</t>
  </si>
  <si>
    <t>Mantenimiento de datos</t>
  </si>
  <si>
    <t>T-18</t>
  </si>
  <si>
    <t>Dashboard Web</t>
  </si>
  <si>
    <t>Crear interfaz base con React, Vite y Tailwind</t>
  </si>
  <si>
    <t>RNF-03</t>
  </si>
  <si>
    <t>Layout principal</t>
  </si>
  <si>
    <t>T-19</t>
  </si>
  <si>
    <t>Diseñar login y control de acceso por rol</t>
  </si>
  <si>
    <t>HU-01</t>
  </si>
  <si>
    <t>Acceso institucional</t>
  </si>
  <si>
    <t>T-20</t>
  </si>
  <si>
    <t>Implementar panel en tiempo real con gráficos</t>
  </si>
  <si>
    <t>HU-05 / HU-07</t>
  </si>
  <si>
    <t>Monitoreo visual</t>
  </si>
  <si>
    <t>T-21</t>
  </si>
  <si>
    <t>Implementar comparativa Agua Real vs Predicción</t>
  </si>
  <si>
    <t>HU-07 / RF-09</t>
  </si>
  <si>
    <t>To Do</t>
  </si>
  <si>
    <t>Validación del modelo</t>
  </si>
  <si>
    <t>T-22</t>
  </si>
  <si>
    <t>Implementar módulo de reportes y exportación</t>
  </si>
  <si>
    <t>PDF / Excel</t>
  </si>
  <si>
    <t>T-23</t>
  </si>
  <si>
    <t>Implementar simulador ML3 en interfaz</t>
  </si>
  <si>
    <t>Escenarios hipotéticos</t>
  </si>
  <si>
    <t>T-24</t>
  </si>
  <si>
    <t>Administración</t>
  </si>
  <si>
    <t>T-25</t>
  </si>
  <si>
    <t>Integración</t>
  </si>
  <si>
    <t>Integrar FastAPI, React, MCP y PostgreSQL</t>
  </si>
  <si>
    <t>Integración total</t>
  </si>
  <si>
    <t>T-26</t>
  </si>
  <si>
    <t>Pruebas</t>
  </si>
  <si>
    <t>Probar transmisión IoT-endpoint-base de datos</t>
  </si>
  <si>
    <t>RF-01 a RF-03</t>
  </si>
  <si>
    <t>Pruebas de captura</t>
  </si>
  <si>
    <t>T-27</t>
  </si>
  <si>
    <t>Probar predicción ML1 y precisión</t>
  </si>
  <si>
    <t>HU-06 / HU-07</t>
  </si>
  <si>
    <t>Validación predictiva</t>
  </si>
  <si>
    <t>T-28</t>
  </si>
  <si>
    <t>Probar control de riego ML2</t>
  </si>
  <si>
    <t>Edge computing</t>
  </si>
  <si>
    <t>T-29</t>
  </si>
  <si>
    <t>Probar accesibilidad y responsividad del dashboard</t>
  </si>
  <si>
    <t>RNF-03 / HU-18</t>
  </si>
  <si>
    <t>Móvil y escritorio</t>
  </si>
  <si>
    <t>T-30</t>
  </si>
  <si>
    <t>Documentación</t>
  </si>
  <si>
    <t>Elaborar manual técnico y usuario</t>
  </si>
  <si>
    <t>Entregable final</t>
  </si>
  <si>
    <t>Cierre del proyecto</t>
  </si>
  <si>
    <t>T-31</t>
  </si>
  <si>
    <t>Añadir modulo de solicitudes para reubicaciones</t>
  </si>
  <si>
    <t>------------</t>
  </si>
  <si>
    <t>Observaciones Ing. Moller</t>
  </si>
  <si>
    <t>RESUMEN SCRUMBAN</t>
  </si>
  <si>
    <t>Total tareas</t>
  </si>
  <si>
    <t>Bloqueadas</t>
  </si>
  <si>
    <t>Progreso general</t>
  </si>
  <si>
    <t>Cómo usar esta tabla</t>
  </si>
  <si>
    <t>1. Usa la hoja Backlog para registrar y actualizar tareas.</t>
  </si>
  <si>
    <t>2. Cambia el estado con la lista desplegable.</t>
  </si>
  <si>
    <t>3. Filtra por prioridad, módulo o responsable.</t>
  </si>
  <si>
    <t>4. Colorea automáticamente según prioridad y estado.</t>
  </si>
  <si>
    <t>5. Revisa el resumen para ver avance general.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</si>
</sst>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4"/>
      <color rgb="FFFFFFFF"/>
      <name val="Calibri"/>
      <scheme val="minor"/>
    </font>
    <font>
      <sz val="11"/>
      <name val="Calibri"/>
    </font>
    <font>
      <i/>
      <sz val="10"/>
      <color rgb="FFFFFFFF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F81BD"/>
        <bgColor rgb="FF4F81BD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D9EAF7"/>
        <bgColor rgb="FFD9EAF7"/>
      </patternFill>
    </fill>
    <fill>
      <patternFill patternType="solid">
        <fgColor rgb="FFF8F9FA"/>
        <bgColor rgb="FFF8F9F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4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top" wrapText="1"/>
    </xf>
    <xf numFmtId="0" fontId="5" fillId="5" borderId="4" xfId="0" applyFont="1" applyFill="1" applyBorder="1" applyAlignment="1">
      <alignment vertical="top" wrapText="1"/>
    </xf>
    <xf numFmtId="0" fontId="5" fillId="6" borderId="4" xfId="0" applyFont="1" applyFill="1" applyBorder="1" applyAlignment="1">
      <alignment vertical="top" wrapText="1"/>
    </xf>
    <xf numFmtId="0" fontId="5" fillId="6" borderId="4" xfId="0" applyFont="1" applyFill="1" applyBorder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6" fillId="7" borderId="5" xfId="0" applyFont="1" applyFill="1" applyBorder="1"/>
    <xf numFmtId="0" fontId="5" fillId="8" borderId="5" xfId="0" applyFont="1" applyFill="1" applyBorder="1"/>
    <xf numFmtId="0" fontId="7" fillId="0" borderId="0" xfId="0" applyFont="1"/>
    <xf numFmtId="10" fontId="5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9"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pane ySplit="4" topLeftCell="A12" activePane="bottomLeft" state="frozen"/>
      <selection pane="bottomLeft" activeCell="C38" sqref="C38"/>
    </sheetView>
  </sheetViews>
  <sheetFormatPr baseColWidth="10" defaultColWidth="14.42578125" defaultRowHeight="15" customHeight="1" x14ac:dyDescent="0.25"/>
  <cols>
    <col min="1" max="1" width="10" customWidth="1"/>
    <col min="2" max="2" width="18" customWidth="1"/>
    <col min="3" max="3" width="42" customWidth="1"/>
    <col min="4" max="4" width="18" customWidth="1"/>
    <col min="5" max="6" width="12" customWidth="1"/>
    <col min="7" max="7" width="18" customWidth="1"/>
    <col min="8" max="8" width="16" customWidth="1"/>
    <col min="9" max="10" width="12" customWidth="1"/>
    <col min="11" max="11" width="10" customWidth="1"/>
    <col min="12" max="12" width="24" customWidth="1"/>
    <col min="13" max="26" width="8.7109375" customWidth="1"/>
  </cols>
  <sheetData>
    <row r="1" spans="1:12" ht="24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</row>
    <row r="2" spans="1:12" ht="19.5" customHeight="1" x14ac:dyDescent="0.25">
      <c r="A2" s="15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</row>
    <row r="4" spans="1:12" ht="30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x14ac:dyDescent="0.25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3" t="s">
        <v>19</v>
      </c>
      <c r="G5" s="2" t="s">
        <v>20</v>
      </c>
      <c r="H5" s="2">
        <v>3</v>
      </c>
      <c r="I5" s="2"/>
      <c r="J5" s="2"/>
      <c r="K5" s="2" t="s">
        <v>21</v>
      </c>
      <c r="L5" s="2" t="s">
        <v>22</v>
      </c>
    </row>
    <row r="6" spans="1:12" ht="30" x14ac:dyDescent="0.25">
      <c r="A6" s="4" t="s">
        <v>23</v>
      </c>
      <c r="B6" s="4" t="s">
        <v>15</v>
      </c>
      <c r="C6" s="4" t="s">
        <v>24</v>
      </c>
      <c r="D6" s="4" t="s">
        <v>25</v>
      </c>
      <c r="E6" s="4" t="s">
        <v>18</v>
      </c>
      <c r="F6" s="5" t="s">
        <v>19</v>
      </c>
      <c r="G6" s="4" t="s">
        <v>20</v>
      </c>
      <c r="H6" s="4">
        <v>5</v>
      </c>
      <c r="I6" s="4"/>
      <c r="J6" s="4"/>
      <c r="K6" s="4" t="s">
        <v>21</v>
      </c>
      <c r="L6" s="4" t="s">
        <v>26</v>
      </c>
    </row>
    <row r="7" spans="1:12" ht="30" x14ac:dyDescent="0.25">
      <c r="A7" s="2" t="s">
        <v>27</v>
      </c>
      <c r="B7" s="2" t="s">
        <v>15</v>
      </c>
      <c r="C7" s="2" t="s">
        <v>28</v>
      </c>
      <c r="D7" s="2" t="s">
        <v>29</v>
      </c>
      <c r="E7" s="2" t="s">
        <v>18</v>
      </c>
      <c r="F7" s="2" t="s">
        <v>30</v>
      </c>
      <c r="G7" s="2" t="s">
        <v>20</v>
      </c>
      <c r="H7" s="2">
        <v>4</v>
      </c>
      <c r="I7" s="2"/>
      <c r="J7" s="2"/>
      <c r="K7" s="2" t="s">
        <v>21</v>
      </c>
      <c r="L7" s="2" t="s">
        <v>31</v>
      </c>
    </row>
    <row r="8" spans="1:12" x14ac:dyDescent="0.25">
      <c r="A8" s="4" t="s">
        <v>32</v>
      </c>
      <c r="B8" s="4" t="s">
        <v>15</v>
      </c>
      <c r="C8" s="4" t="s">
        <v>33</v>
      </c>
      <c r="D8" s="4" t="s">
        <v>34</v>
      </c>
      <c r="E8" s="4" t="s">
        <v>18</v>
      </c>
      <c r="F8" s="4" t="s">
        <v>30</v>
      </c>
      <c r="G8" s="4" t="s">
        <v>20</v>
      </c>
      <c r="H8" s="4">
        <v>4</v>
      </c>
      <c r="I8" s="4"/>
      <c r="J8" s="4"/>
      <c r="K8" s="4" t="s">
        <v>21</v>
      </c>
      <c r="L8" s="4" t="s">
        <v>35</v>
      </c>
    </row>
    <row r="9" spans="1:12" ht="30" x14ac:dyDescent="0.25">
      <c r="A9" s="2" t="s">
        <v>36</v>
      </c>
      <c r="B9" s="2" t="s">
        <v>37</v>
      </c>
      <c r="C9" s="2" t="s">
        <v>38</v>
      </c>
      <c r="D9" s="2" t="s">
        <v>39</v>
      </c>
      <c r="E9" s="2" t="s">
        <v>18</v>
      </c>
      <c r="F9" s="2" t="s">
        <v>30</v>
      </c>
      <c r="G9" s="2" t="s">
        <v>20</v>
      </c>
      <c r="H9" s="2">
        <v>4</v>
      </c>
      <c r="I9" s="2"/>
      <c r="J9" s="2"/>
      <c r="K9" s="2" t="s">
        <v>21</v>
      </c>
      <c r="L9" s="2" t="s">
        <v>40</v>
      </c>
    </row>
    <row r="10" spans="1:12" ht="30" x14ac:dyDescent="0.25">
      <c r="A10" s="4" t="s">
        <v>41</v>
      </c>
      <c r="B10" s="4" t="s">
        <v>37</v>
      </c>
      <c r="C10" s="4" t="s">
        <v>42</v>
      </c>
      <c r="D10" s="4" t="s">
        <v>39</v>
      </c>
      <c r="E10" s="4" t="s">
        <v>18</v>
      </c>
      <c r="F10" s="4" t="s">
        <v>30</v>
      </c>
      <c r="G10" s="4" t="s">
        <v>20</v>
      </c>
      <c r="H10" s="4">
        <v>8</v>
      </c>
      <c r="I10" s="4"/>
      <c r="J10" s="4"/>
      <c r="K10" s="4" t="s">
        <v>21</v>
      </c>
      <c r="L10" s="4" t="s">
        <v>43</v>
      </c>
    </row>
    <row r="11" spans="1:12" x14ac:dyDescent="0.25">
      <c r="A11" s="2" t="s">
        <v>44</v>
      </c>
      <c r="B11" s="2" t="s">
        <v>37</v>
      </c>
      <c r="C11" s="2" t="s">
        <v>45</v>
      </c>
      <c r="D11" s="2" t="s">
        <v>39</v>
      </c>
      <c r="E11" s="2" t="s">
        <v>18</v>
      </c>
      <c r="F11" s="2" t="s">
        <v>30</v>
      </c>
      <c r="G11" s="2" t="s">
        <v>20</v>
      </c>
      <c r="H11" s="2">
        <v>4</v>
      </c>
      <c r="I11" s="2"/>
      <c r="J11" s="2"/>
      <c r="K11" s="2" t="s">
        <v>21</v>
      </c>
      <c r="L11" s="2" t="s">
        <v>46</v>
      </c>
    </row>
    <row r="12" spans="1:12" ht="30" x14ac:dyDescent="0.25">
      <c r="A12" s="4" t="s">
        <v>47</v>
      </c>
      <c r="B12" s="4" t="s">
        <v>37</v>
      </c>
      <c r="C12" s="4" t="s">
        <v>48</v>
      </c>
      <c r="D12" s="4" t="s">
        <v>49</v>
      </c>
      <c r="E12" s="4" t="s">
        <v>18</v>
      </c>
      <c r="F12" s="4" t="s">
        <v>30</v>
      </c>
      <c r="G12" s="4" t="s">
        <v>20</v>
      </c>
      <c r="H12" s="4">
        <v>8</v>
      </c>
      <c r="I12" s="4"/>
      <c r="J12" s="4"/>
      <c r="K12" s="4" t="s">
        <v>21</v>
      </c>
      <c r="L12" s="4" t="s">
        <v>50</v>
      </c>
    </row>
    <row r="13" spans="1:12" ht="30" x14ac:dyDescent="0.25">
      <c r="A13" s="2" t="s">
        <v>51</v>
      </c>
      <c r="B13" s="2" t="s">
        <v>37</v>
      </c>
      <c r="C13" s="2" t="s">
        <v>52</v>
      </c>
      <c r="D13" s="2" t="s">
        <v>53</v>
      </c>
      <c r="E13" s="2" t="s">
        <v>54</v>
      </c>
      <c r="F13" s="2" t="s">
        <v>30</v>
      </c>
      <c r="G13" s="2" t="s">
        <v>20</v>
      </c>
      <c r="H13" s="2">
        <v>8</v>
      </c>
      <c r="I13" s="2"/>
      <c r="J13" s="2"/>
      <c r="K13" s="2" t="s">
        <v>21</v>
      </c>
      <c r="L13" s="2" t="s">
        <v>55</v>
      </c>
    </row>
    <row r="14" spans="1:12" x14ac:dyDescent="0.25">
      <c r="A14" s="4" t="s">
        <v>56</v>
      </c>
      <c r="B14" s="4" t="s">
        <v>57</v>
      </c>
      <c r="C14" s="4" t="s">
        <v>58</v>
      </c>
      <c r="D14" s="4" t="s">
        <v>59</v>
      </c>
      <c r="E14" s="4" t="s">
        <v>18</v>
      </c>
      <c r="F14" s="5" t="s">
        <v>19</v>
      </c>
      <c r="G14" s="4" t="s">
        <v>20</v>
      </c>
      <c r="H14" s="4">
        <v>2</v>
      </c>
      <c r="I14" s="4"/>
      <c r="J14" s="4"/>
      <c r="K14" s="4" t="s">
        <v>21</v>
      </c>
      <c r="L14" s="4" t="s">
        <v>60</v>
      </c>
    </row>
    <row r="15" spans="1:12" x14ac:dyDescent="0.25">
      <c r="A15" s="2" t="s">
        <v>61</v>
      </c>
      <c r="B15" s="2" t="s">
        <v>57</v>
      </c>
      <c r="C15" s="2" t="s">
        <v>62</v>
      </c>
      <c r="D15" s="2" t="s">
        <v>63</v>
      </c>
      <c r="E15" s="2" t="s">
        <v>18</v>
      </c>
      <c r="F15" s="3" t="s">
        <v>19</v>
      </c>
      <c r="G15" s="2" t="s">
        <v>20</v>
      </c>
      <c r="H15" s="2">
        <v>3</v>
      </c>
      <c r="I15" s="2"/>
      <c r="J15" s="2"/>
      <c r="K15" s="2" t="s">
        <v>21</v>
      </c>
      <c r="L15" s="2" t="s">
        <v>64</v>
      </c>
    </row>
    <row r="16" spans="1:12" x14ac:dyDescent="0.25">
      <c r="A16" s="4" t="s">
        <v>65</v>
      </c>
      <c r="B16" s="4" t="s">
        <v>57</v>
      </c>
      <c r="C16" s="4" t="s">
        <v>66</v>
      </c>
      <c r="D16" s="4" t="s">
        <v>67</v>
      </c>
      <c r="E16" s="4" t="s">
        <v>18</v>
      </c>
      <c r="F16" s="5" t="s">
        <v>19</v>
      </c>
      <c r="G16" s="4" t="s">
        <v>20</v>
      </c>
      <c r="H16" s="4">
        <v>4</v>
      </c>
      <c r="I16" s="4"/>
      <c r="J16" s="4"/>
      <c r="K16" s="4" t="s">
        <v>21</v>
      </c>
      <c r="L16" s="4" t="s">
        <v>68</v>
      </c>
    </row>
    <row r="17" spans="1:12" x14ac:dyDescent="0.25">
      <c r="A17" s="2" t="s">
        <v>69</v>
      </c>
      <c r="B17" s="2" t="s">
        <v>57</v>
      </c>
      <c r="C17" s="2" t="s">
        <v>70</v>
      </c>
      <c r="D17" s="2" t="s">
        <v>71</v>
      </c>
      <c r="E17" s="2" t="s">
        <v>18</v>
      </c>
      <c r="F17" s="3" t="s">
        <v>19</v>
      </c>
      <c r="G17" s="2" t="s">
        <v>20</v>
      </c>
      <c r="H17" s="2">
        <v>4</v>
      </c>
      <c r="I17" s="2"/>
      <c r="J17" s="2"/>
      <c r="K17" s="2" t="s">
        <v>21</v>
      </c>
      <c r="L17" s="2" t="s">
        <v>72</v>
      </c>
    </row>
    <row r="18" spans="1:12" x14ac:dyDescent="0.25">
      <c r="A18" s="4" t="s">
        <v>73</v>
      </c>
      <c r="B18" s="4" t="s">
        <v>57</v>
      </c>
      <c r="C18" s="4" t="s">
        <v>74</v>
      </c>
      <c r="D18" s="4" t="s">
        <v>75</v>
      </c>
      <c r="E18" s="4" t="s">
        <v>18</v>
      </c>
      <c r="F18" s="5" t="s">
        <v>19</v>
      </c>
      <c r="G18" s="4" t="s">
        <v>20</v>
      </c>
      <c r="H18" s="4">
        <v>4</v>
      </c>
      <c r="I18" s="4"/>
      <c r="J18" s="4"/>
      <c r="K18" s="4" t="s">
        <v>21</v>
      </c>
      <c r="L18" s="4" t="s">
        <v>76</v>
      </c>
    </row>
    <row r="19" spans="1:12" x14ac:dyDescent="0.25">
      <c r="A19" s="2" t="s">
        <v>77</v>
      </c>
      <c r="B19" s="2" t="s">
        <v>57</v>
      </c>
      <c r="C19" s="2" t="s">
        <v>78</v>
      </c>
      <c r="D19" s="2" t="s">
        <v>79</v>
      </c>
      <c r="E19" s="2" t="s">
        <v>54</v>
      </c>
      <c r="F19" s="3" t="s">
        <v>19</v>
      </c>
      <c r="G19" s="2" t="s">
        <v>20</v>
      </c>
      <c r="H19" s="2">
        <v>3</v>
      </c>
      <c r="I19" s="2"/>
      <c r="J19" s="2"/>
      <c r="K19" s="2" t="s">
        <v>21</v>
      </c>
      <c r="L19" s="2" t="s">
        <v>80</v>
      </c>
    </row>
    <row r="20" spans="1:12" x14ac:dyDescent="0.25">
      <c r="A20" s="4" t="s">
        <v>81</v>
      </c>
      <c r="B20" s="4" t="s">
        <v>57</v>
      </c>
      <c r="C20" s="4" t="s">
        <v>82</v>
      </c>
      <c r="D20" s="4" t="s">
        <v>83</v>
      </c>
      <c r="E20" s="4" t="s">
        <v>18</v>
      </c>
      <c r="F20" s="5" t="s">
        <v>19</v>
      </c>
      <c r="G20" s="4" t="s">
        <v>20</v>
      </c>
      <c r="H20" s="4">
        <v>2</v>
      </c>
      <c r="I20" s="4"/>
      <c r="J20" s="4"/>
      <c r="K20" s="4" t="s">
        <v>21</v>
      </c>
      <c r="L20" s="4" t="s">
        <v>84</v>
      </c>
    </row>
    <row r="21" spans="1:12" ht="15.75" customHeight="1" x14ac:dyDescent="0.25">
      <c r="A21" s="2" t="s">
        <v>85</v>
      </c>
      <c r="B21" s="2" t="s">
        <v>57</v>
      </c>
      <c r="C21" s="2" t="s">
        <v>86</v>
      </c>
      <c r="D21" s="2" t="s">
        <v>87</v>
      </c>
      <c r="E21" s="2" t="s">
        <v>88</v>
      </c>
      <c r="F21" s="3" t="s">
        <v>89</v>
      </c>
      <c r="G21" s="2" t="s">
        <v>20</v>
      </c>
      <c r="H21" s="2">
        <v>2</v>
      </c>
      <c r="I21" s="2"/>
      <c r="J21" s="2"/>
      <c r="K21" s="2" t="s">
        <v>21</v>
      </c>
      <c r="L21" s="2" t="s">
        <v>90</v>
      </c>
    </row>
    <row r="22" spans="1:12" ht="15.75" customHeight="1" x14ac:dyDescent="0.25">
      <c r="A22" s="4" t="s">
        <v>91</v>
      </c>
      <c r="B22" s="4" t="s">
        <v>92</v>
      </c>
      <c r="C22" s="4" t="s">
        <v>93</v>
      </c>
      <c r="D22" s="4" t="s">
        <v>94</v>
      </c>
      <c r="E22" s="4" t="s">
        <v>18</v>
      </c>
      <c r="F22" s="5" t="s">
        <v>19</v>
      </c>
      <c r="G22" s="4" t="s">
        <v>20</v>
      </c>
      <c r="H22" s="4">
        <v>3</v>
      </c>
      <c r="I22" s="4"/>
      <c r="J22" s="4"/>
      <c r="K22" s="4" t="s">
        <v>21</v>
      </c>
      <c r="L22" s="4" t="s">
        <v>95</v>
      </c>
    </row>
    <row r="23" spans="1:12" ht="15.75" customHeight="1" x14ac:dyDescent="0.25">
      <c r="A23" s="2" t="s">
        <v>96</v>
      </c>
      <c r="B23" s="2" t="s">
        <v>92</v>
      </c>
      <c r="C23" s="2" t="s">
        <v>97</v>
      </c>
      <c r="D23" s="2" t="s">
        <v>98</v>
      </c>
      <c r="E23" s="2" t="s">
        <v>18</v>
      </c>
      <c r="F23" s="3" t="s">
        <v>19</v>
      </c>
      <c r="G23" s="2" t="s">
        <v>20</v>
      </c>
      <c r="H23" s="2">
        <v>2</v>
      </c>
      <c r="I23" s="2"/>
      <c r="J23" s="2"/>
      <c r="K23" s="2" t="s">
        <v>21</v>
      </c>
      <c r="L23" s="2" t="s">
        <v>99</v>
      </c>
    </row>
    <row r="24" spans="1:12" ht="15.75" customHeight="1" x14ac:dyDescent="0.25">
      <c r="A24" s="4" t="s">
        <v>100</v>
      </c>
      <c r="B24" s="4" t="s">
        <v>92</v>
      </c>
      <c r="C24" s="4" t="s">
        <v>101</v>
      </c>
      <c r="D24" s="4" t="s">
        <v>102</v>
      </c>
      <c r="E24" s="4" t="s">
        <v>18</v>
      </c>
      <c r="F24" s="5" t="s">
        <v>89</v>
      </c>
      <c r="G24" s="4" t="s">
        <v>20</v>
      </c>
      <c r="H24" s="4">
        <v>4</v>
      </c>
      <c r="I24" s="4"/>
      <c r="J24" s="4"/>
      <c r="K24" s="4" t="s">
        <v>21</v>
      </c>
      <c r="L24" s="4" t="s">
        <v>103</v>
      </c>
    </row>
    <row r="25" spans="1:12" ht="15.75" customHeight="1" x14ac:dyDescent="0.25">
      <c r="A25" s="2" t="s">
        <v>104</v>
      </c>
      <c r="B25" s="2" t="s">
        <v>92</v>
      </c>
      <c r="C25" s="2" t="s">
        <v>105</v>
      </c>
      <c r="D25" s="2" t="s">
        <v>106</v>
      </c>
      <c r="E25" s="2" t="s">
        <v>18</v>
      </c>
      <c r="F25" s="3" t="s">
        <v>107</v>
      </c>
      <c r="G25" s="2" t="s">
        <v>20</v>
      </c>
      <c r="H25" s="2">
        <v>3</v>
      </c>
      <c r="I25" s="2"/>
      <c r="J25" s="2"/>
      <c r="K25" s="2" t="s">
        <v>21</v>
      </c>
      <c r="L25" s="2" t="s">
        <v>108</v>
      </c>
    </row>
    <row r="26" spans="1:12" ht="15.75" customHeight="1" x14ac:dyDescent="0.25">
      <c r="A26" s="4" t="s">
        <v>109</v>
      </c>
      <c r="B26" s="4" t="s">
        <v>92</v>
      </c>
      <c r="C26" s="4" t="s">
        <v>110</v>
      </c>
      <c r="D26" s="4" t="s">
        <v>79</v>
      </c>
      <c r="E26" s="4" t="s">
        <v>54</v>
      </c>
      <c r="F26" s="5" t="s">
        <v>89</v>
      </c>
      <c r="G26" s="4" t="s">
        <v>20</v>
      </c>
      <c r="H26" s="4">
        <v>3</v>
      </c>
      <c r="I26" s="4"/>
      <c r="J26" s="4"/>
      <c r="K26" s="4" t="s">
        <v>21</v>
      </c>
      <c r="L26" s="4" t="s">
        <v>111</v>
      </c>
    </row>
    <row r="27" spans="1:12" ht="15.75" customHeight="1" x14ac:dyDescent="0.25">
      <c r="A27" s="2" t="s">
        <v>112</v>
      </c>
      <c r="B27" s="2" t="s">
        <v>92</v>
      </c>
      <c r="C27" s="2" t="s">
        <v>113</v>
      </c>
      <c r="D27" s="2" t="s">
        <v>53</v>
      </c>
      <c r="E27" s="2" t="s">
        <v>54</v>
      </c>
      <c r="F27" s="3" t="s">
        <v>107</v>
      </c>
      <c r="G27" s="2" t="s">
        <v>20</v>
      </c>
      <c r="H27" s="2">
        <v>4</v>
      </c>
      <c r="I27" s="2"/>
      <c r="J27" s="2"/>
      <c r="K27" s="2" t="s">
        <v>21</v>
      </c>
      <c r="L27" s="2" t="s">
        <v>114</v>
      </c>
    </row>
    <row r="28" spans="1:12" ht="15.75" customHeight="1" x14ac:dyDescent="0.25">
      <c r="A28" s="4" t="s">
        <v>115</v>
      </c>
      <c r="B28" s="4" t="s">
        <v>92</v>
      </c>
      <c r="C28" s="4" t="s">
        <v>82</v>
      </c>
      <c r="D28" s="4" t="s">
        <v>83</v>
      </c>
      <c r="E28" s="4" t="s">
        <v>54</v>
      </c>
      <c r="F28" s="5" t="s">
        <v>19</v>
      </c>
      <c r="G28" s="4" t="s">
        <v>20</v>
      </c>
      <c r="H28" s="4">
        <v>2</v>
      </c>
      <c r="I28" s="4"/>
      <c r="J28" s="4"/>
      <c r="K28" s="4" t="s">
        <v>21</v>
      </c>
      <c r="L28" s="4" t="s">
        <v>116</v>
      </c>
    </row>
    <row r="29" spans="1:12" ht="15.75" customHeight="1" x14ac:dyDescent="0.25">
      <c r="A29" s="2" t="s">
        <v>117</v>
      </c>
      <c r="B29" s="2" t="s">
        <v>118</v>
      </c>
      <c r="C29" s="2" t="s">
        <v>119</v>
      </c>
      <c r="D29" s="2" t="s">
        <v>34</v>
      </c>
      <c r="E29" s="2" t="s">
        <v>18</v>
      </c>
      <c r="F29" s="3" t="s">
        <v>107</v>
      </c>
      <c r="G29" s="2" t="s">
        <v>20</v>
      </c>
      <c r="H29" s="2">
        <v>5</v>
      </c>
      <c r="I29" s="2"/>
      <c r="J29" s="2"/>
      <c r="K29" s="2" t="s">
        <v>21</v>
      </c>
      <c r="L29" s="2" t="s">
        <v>120</v>
      </c>
    </row>
    <row r="30" spans="1:12" ht="15.75" customHeight="1" x14ac:dyDescent="0.25">
      <c r="A30" s="4" t="s">
        <v>121</v>
      </c>
      <c r="B30" s="4" t="s">
        <v>122</v>
      </c>
      <c r="C30" s="4" t="s">
        <v>123</v>
      </c>
      <c r="D30" s="4" t="s">
        <v>124</v>
      </c>
      <c r="E30" s="4" t="s">
        <v>18</v>
      </c>
      <c r="F30" s="5" t="s">
        <v>107</v>
      </c>
      <c r="G30" s="4" t="s">
        <v>20</v>
      </c>
      <c r="H30" s="4">
        <v>3</v>
      </c>
      <c r="I30" s="4"/>
      <c r="J30" s="4"/>
      <c r="K30" s="4" t="s">
        <v>21</v>
      </c>
      <c r="L30" s="4" t="s">
        <v>125</v>
      </c>
    </row>
    <row r="31" spans="1:12" ht="15.75" customHeight="1" x14ac:dyDescent="0.25">
      <c r="A31" s="2" t="s">
        <v>126</v>
      </c>
      <c r="B31" s="2" t="s">
        <v>122</v>
      </c>
      <c r="C31" s="2" t="s">
        <v>127</v>
      </c>
      <c r="D31" s="2" t="s">
        <v>128</v>
      </c>
      <c r="E31" s="2" t="s">
        <v>18</v>
      </c>
      <c r="F31" s="2" t="s">
        <v>30</v>
      </c>
      <c r="G31" s="2" t="s">
        <v>20</v>
      </c>
      <c r="H31" s="2">
        <v>3</v>
      </c>
      <c r="I31" s="2"/>
      <c r="J31" s="2"/>
      <c r="K31" s="2" t="s">
        <v>21</v>
      </c>
      <c r="L31" s="2" t="s">
        <v>129</v>
      </c>
    </row>
    <row r="32" spans="1:12" ht="15.75" customHeight="1" x14ac:dyDescent="0.25">
      <c r="A32" s="4" t="s">
        <v>130</v>
      </c>
      <c r="B32" s="4" t="s">
        <v>122</v>
      </c>
      <c r="C32" s="4" t="s">
        <v>131</v>
      </c>
      <c r="D32" s="4" t="s">
        <v>49</v>
      </c>
      <c r="E32" s="4" t="s">
        <v>18</v>
      </c>
      <c r="F32" s="4" t="s">
        <v>30</v>
      </c>
      <c r="G32" s="4" t="s">
        <v>20</v>
      </c>
      <c r="H32" s="4">
        <v>3</v>
      </c>
      <c r="I32" s="4"/>
      <c r="J32" s="4"/>
      <c r="K32" s="4" t="s">
        <v>21</v>
      </c>
      <c r="L32" s="4" t="s">
        <v>132</v>
      </c>
    </row>
    <row r="33" spans="1:12" ht="15.75" customHeight="1" x14ac:dyDescent="0.25">
      <c r="A33" s="2" t="s">
        <v>133</v>
      </c>
      <c r="B33" s="2" t="s">
        <v>122</v>
      </c>
      <c r="C33" s="2" t="s">
        <v>134</v>
      </c>
      <c r="D33" s="2" t="s">
        <v>135</v>
      </c>
      <c r="E33" s="2" t="s">
        <v>54</v>
      </c>
      <c r="F33" s="2" t="s">
        <v>30</v>
      </c>
      <c r="G33" s="2" t="s">
        <v>20</v>
      </c>
      <c r="H33" s="2">
        <v>2</v>
      </c>
      <c r="I33" s="2"/>
      <c r="J33" s="2"/>
      <c r="K33" s="2" t="s">
        <v>21</v>
      </c>
      <c r="L33" s="2" t="s">
        <v>136</v>
      </c>
    </row>
    <row r="34" spans="1:12" ht="15.75" customHeight="1" x14ac:dyDescent="0.25">
      <c r="A34" s="4" t="s">
        <v>137</v>
      </c>
      <c r="B34" s="4" t="s">
        <v>138</v>
      </c>
      <c r="C34" s="4" t="s">
        <v>139</v>
      </c>
      <c r="D34" s="4" t="s">
        <v>140</v>
      </c>
      <c r="E34" s="4" t="s">
        <v>54</v>
      </c>
      <c r="F34" s="4" t="s">
        <v>30</v>
      </c>
      <c r="G34" s="4" t="s">
        <v>20</v>
      </c>
      <c r="H34" s="4">
        <v>3</v>
      </c>
      <c r="I34" s="4"/>
      <c r="J34" s="4"/>
      <c r="K34" s="4" t="s">
        <v>21</v>
      </c>
      <c r="L34" s="4" t="s">
        <v>141</v>
      </c>
    </row>
    <row r="35" spans="1:12" ht="15.75" customHeight="1" x14ac:dyDescent="0.25">
      <c r="A35" s="6" t="s">
        <v>142</v>
      </c>
      <c r="B35" s="6" t="s">
        <v>92</v>
      </c>
      <c r="C35" s="6" t="s">
        <v>143</v>
      </c>
      <c r="D35" s="6" t="s">
        <v>144</v>
      </c>
      <c r="E35" s="3" t="s">
        <v>18</v>
      </c>
      <c r="F35" s="3" t="s">
        <v>89</v>
      </c>
      <c r="G35" s="2" t="s">
        <v>20</v>
      </c>
      <c r="H35" s="6">
        <v>4</v>
      </c>
      <c r="I35" s="7"/>
      <c r="J35" s="7"/>
      <c r="K35" s="7"/>
      <c r="L35" s="6" t="s">
        <v>145</v>
      </c>
    </row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L35" xr:uid="{00000000-0009-0000-0000-000000000000}"/>
  <mergeCells count="2">
    <mergeCell ref="A1:L1"/>
    <mergeCell ref="A2:L2"/>
  </mergeCells>
  <conditionalFormatting sqref="E5:E35">
    <cfRule type="expression" dxfId="8" priority="1">
      <formula>E5="Alta"</formula>
    </cfRule>
    <cfRule type="expression" dxfId="7" priority="2">
      <formula>E5="Media"</formula>
    </cfRule>
    <cfRule type="expression" dxfId="6" priority="3">
      <formula>E5="Baja"</formula>
    </cfRule>
  </conditionalFormatting>
  <conditionalFormatting sqref="F5:F35">
    <cfRule type="expression" dxfId="5" priority="4">
      <formula>F5="Backlog"</formula>
    </cfRule>
    <cfRule type="expression" dxfId="4" priority="5">
      <formula>F5="To Do"</formula>
    </cfRule>
    <cfRule type="expression" dxfId="3" priority="6">
      <formula>F5="Doing"</formula>
    </cfRule>
    <cfRule type="expression" dxfId="2" priority="7">
      <formula>F5="Testing"</formula>
    </cfRule>
    <cfRule type="expression" dxfId="1" priority="8">
      <formula>F5="Done"</formula>
    </cfRule>
  </conditionalFormatting>
  <conditionalFormatting sqref="K5:K34">
    <cfRule type="expression" dxfId="0" priority="9">
      <formula>K5="Sí"</formula>
    </cfRule>
  </conditionalFormatting>
  <dataValidations count="4">
    <dataValidation type="list" allowBlank="1" showErrorMessage="1" sqref="B5:B35" xr:uid="{00000000-0002-0000-0000-000000000000}">
      <formula1>"IoT / Hardware,Machine Learning,Backend,Dashboard Web,Integración,Pruebas,Documentación"</formula1>
    </dataValidation>
    <dataValidation type="list" allowBlank="1" sqref="E5:E35" xr:uid="{00000000-0002-0000-0000-000001000000}">
      <formula1>"Alta,Media,Baja"</formula1>
    </dataValidation>
    <dataValidation type="list" allowBlank="1" sqref="K5:K34" xr:uid="{00000000-0002-0000-0000-000002000000}">
      <formula1>"Sí,No"</formula1>
    </dataValidation>
    <dataValidation type="list" allowBlank="1" sqref="F5:F35" xr:uid="{00000000-0002-0000-0000-000003000000}">
      <formula1>"Backlog,To Do,Doing,Testing,Done"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baseColWidth="10" defaultColWidth="14.42578125" defaultRowHeight="15" customHeight="1" x14ac:dyDescent="0.25"/>
  <cols>
    <col min="1" max="3" width="22" customWidth="1"/>
    <col min="4" max="26" width="8.7109375" customWidth="1"/>
  </cols>
  <sheetData>
    <row r="1" spans="1:3" ht="18.75" x14ac:dyDescent="0.3">
      <c r="A1" s="16" t="s">
        <v>146</v>
      </c>
      <c r="B1" s="13"/>
      <c r="C1" s="14"/>
    </row>
    <row r="3" spans="1:3" x14ac:dyDescent="0.25">
      <c r="A3" s="8" t="s">
        <v>147</v>
      </c>
      <c r="B3" s="9">
        <f>COUNTA(Backlog!A5:A34)</f>
        <v>30</v>
      </c>
    </row>
    <row r="4" spans="1:3" x14ac:dyDescent="0.25">
      <c r="A4" s="8" t="s">
        <v>18</v>
      </c>
      <c r="B4" s="9">
        <f>COUNTIF(Backlog!E5:E34,"Alta")</f>
        <v>22</v>
      </c>
    </row>
    <row r="5" spans="1:3" x14ac:dyDescent="0.25">
      <c r="A5" s="8" t="s">
        <v>54</v>
      </c>
      <c r="B5" s="9">
        <f>COUNTIF(Backlog!E5:E34,"Media")</f>
        <v>7</v>
      </c>
    </row>
    <row r="6" spans="1:3" x14ac:dyDescent="0.25">
      <c r="A6" s="8" t="s">
        <v>88</v>
      </c>
      <c r="B6" s="9">
        <f>COUNTIF(Backlog!E5:E34,"Baja")</f>
        <v>1</v>
      </c>
    </row>
    <row r="7" spans="1:3" x14ac:dyDescent="0.25">
      <c r="A7" s="8" t="s">
        <v>19</v>
      </c>
      <c r="B7" s="9">
        <f>COUNTIF(Backlog!F5:F34,"Done")</f>
        <v>12</v>
      </c>
    </row>
    <row r="8" spans="1:3" x14ac:dyDescent="0.25">
      <c r="A8" s="8" t="s">
        <v>148</v>
      </c>
      <c r="B8" s="9">
        <f>COUNTIF(Backlog!K5:K34,"Sí")</f>
        <v>0</v>
      </c>
    </row>
    <row r="11" spans="1:3" x14ac:dyDescent="0.25">
      <c r="A11" s="10" t="s">
        <v>149</v>
      </c>
      <c r="B11" s="11">
        <f>IFERROR(COUNTIF(Backlog!F5:F34,"Done")/COUNTA(Backlog!A5:A34),0)</f>
        <v>0.4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C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baseColWidth="10" defaultColWidth="14.42578125" defaultRowHeight="15" customHeight="1" x14ac:dyDescent="0.25"/>
  <cols>
    <col min="1" max="1" width="100" customWidth="1"/>
    <col min="2" max="26" width="8.7109375" customWidth="1"/>
  </cols>
  <sheetData>
    <row r="1" spans="1:4" ht="18.75" x14ac:dyDescent="0.3">
      <c r="A1" s="17" t="s">
        <v>150</v>
      </c>
      <c r="B1" s="13"/>
      <c r="C1" s="13"/>
      <c r="D1" s="14"/>
    </row>
    <row r="3" spans="1:4" x14ac:dyDescent="0.25">
      <c r="A3" s="10" t="s">
        <v>151</v>
      </c>
    </row>
    <row r="4" spans="1:4" x14ac:dyDescent="0.25">
      <c r="A4" s="10" t="s">
        <v>152</v>
      </c>
    </row>
    <row r="5" spans="1:4" x14ac:dyDescent="0.25">
      <c r="A5" s="10" t="s">
        <v>153</v>
      </c>
    </row>
    <row r="6" spans="1:4" x14ac:dyDescent="0.25">
      <c r="A6" s="10" t="s">
        <v>154</v>
      </c>
    </row>
    <row r="7" spans="1:4" x14ac:dyDescent="0.25">
      <c r="A7" s="10" t="s">
        <v>155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D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Resumen</vt:lpstr>
      <vt:lpstr>Guía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Limber Romero</cp:lastModifiedBy>
  <dcterms:modified xsi:type="dcterms:W3CDTF">2026-05-29T18:39:37Z</dcterms:modified>
</cp:coreProperties>
</file>